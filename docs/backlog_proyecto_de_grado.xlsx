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yenda" sheetId="1" state="visible" r:id="rId3"/>
    <sheet name="Product Backlog" sheetId="2" state="visible" r:id="rId4"/>
    <sheet name="Sprints" sheetId="3" state="visible" r:id="rId5"/>
  </sheets>
  <definedNames>
    <definedName function="false" hidden="true" localSheetId="1" name="_xlnm._FilterDatabase" vbProcedure="false">'Product Backlog'!$A$1:$J$42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<sst xmlns="http://schemas.openxmlformats.org/spreadsheetml/2006/main" count="400" uniqueCount="249">
  <si>
    <t xml:space="preserve">Product Backlog del proyecto de grado</t>
  </si>
  <si>
    <t xml:space="preserve">Plataforma web y móvil con recomendaciones personalizadas para la gestión de eventos y promoción turística de Santander</t>
  </si>
  <si>
    <t xml:space="preserve">CÓMO SE USA</t>
  </si>
  <si>
    <t xml:space="preserve">1</t>
  </si>
  <si>
    <t xml:space="preserve">En la hoja 'Product Backlog' están las historias de usuario ordenadas por sprint (de 2 semanas). Mueve el estado de cada una a 'En curso' o 'Terminada'.</t>
  </si>
  <si>
    <t xml:space="preserve">2</t>
  </si>
  <si>
    <t xml:space="preserve">En la hoja 'Sprints' se ve, por sprint, cuántas horas tienes disponibles, cuántas planificaste y cuánto has terminado. Si dice 'Sobrecargado', mueve historias al sprint siguiente o recorta alcance.</t>
  </si>
  <si>
    <t xml:space="preserve">3</t>
  </si>
  <si>
    <t xml:space="preserve">Para Trello: copia la columna B ('Tarjeta') de una selección de filas y pégala en 'Añadir tarjeta'; Trello ofrece crear una tarjeta por línea. Después copia la historia y el criterio en la descripción de cada tarjeta.</t>
  </si>
  <si>
    <t xml:space="preserve">4</t>
  </si>
  <si>
    <t xml:space="preserve">Las historias 'Si hay tiempo' no hacen parte del MVP: solo se trabajan si sobran horas.</t>
  </si>
  <si>
    <t xml:space="preserve">FECHAS CLAVE</t>
  </si>
  <si>
    <t xml:space="preserve">Acta de aprobación de la propuesta</t>
  </si>
  <si>
    <t xml:space="preserve">Primera fecha para cargar el F-DC-125</t>
  </si>
  <si>
    <t xml:space="preserve">Fecha máxima para cargar el F-DC-125</t>
  </si>
  <si>
    <t xml:space="preserve">Días que faltan para la fecha máxima</t>
  </si>
  <si>
    <t xml:space="preserve">Fin del último sprint</t>
  </si>
  <si>
    <t xml:space="preserve">Días de margen entre el último sprint y la fecha máxima</t>
  </si>
  <si>
    <t xml:space="preserve">Fuente de las fechas</t>
  </si>
  <si>
    <t xml:space="preserve">Correo del Comité de Trabajos de Grado del 14/10/2026 (dato entregado por la estudiante).</t>
  </si>
  <si>
    <t xml:space="preserve">RESUMEN DE HORAS</t>
  </si>
  <si>
    <t xml:space="preserve">Horas planificadas en sprints (MVP)</t>
  </si>
  <si>
    <t xml:space="preserve">Horas disponibles según los sprints</t>
  </si>
  <si>
    <t xml:space="preserve">Horas de historias 'Si hay tiempo'</t>
  </si>
  <si>
    <t xml:space="preserve">SUPUESTOS (revísalos y cámbialos)</t>
  </si>
  <si>
    <t xml:space="preserve">Horas estimadas por historia</t>
  </si>
  <si>
    <t xml:space="preserve">Son estimaciones aproximadas de la asistente, no datos oficiales. Cambia las celdas azules de la columna 'Horas estimadas' cuando veas cuánto te toma cada tarea.</t>
  </si>
  <si>
    <t xml:space="preserve">Horas disponibles por sprint</t>
  </si>
  <si>
    <t xml:space="preserve">Supuesto: unas 4 horas por semana en requisitos y diseño, unas 10 en el desarrollo (sprints 6 a 8) y unas 7 en las pruebas y el cierre. Son las celdas azules de la hoja 'Sprints'.</t>
  </si>
  <si>
    <t xml:space="preserve">Fecha de inicio del sprint 1</t>
  </si>
  <si>
    <t xml:space="preserve">Supuesto: lunes 26 de octubre de 2026. Es la celda amarilla de la hoja 'Sprints'; las demás fechas se calculan a partir de ella.</t>
  </si>
  <si>
    <t xml:space="preserve">Plan base</t>
  </si>
  <si>
    <t xml:space="preserve">Plan de actividades de la propuesta aprobada: 22 semanas, o 11 sprints de 2 semanas.</t>
  </si>
  <si>
    <t xml:space="preserve">Alcance del MVP</t>
  </si>
  <si>
    <t xml:space="preserve">Tomado del alcance de la propuesta: versión web para el organizador, versión móvil para el visitante, reservas sin pagos y recomendaciones por reglas.</t>
  </si>
  <si>
    <t xml:space="preserve">COLORES</t>
  </si>
  <si>
    <t xml:space="preserve">Texto azul</t>
  </si>
  <si>
    <t xml:space="preserve">Dato que puedes cambiar (horas, sprint, fecha de inicio).</t>
  </si>
  <si>
    <t xml:space="preserve">Texto negro</t>
  </si>
  <si>
    <t xml:space="preserve">Fórmula o texto fijo: no lo cambies.</t>
  </si>
  <si>
    <t xml:space="preserve">ID</t>
  </si>
  <si>
    <t xml:space="preserve">Tarjeta (título corto)</t>
  </si>
  <si>
    <t xml:space="preserve">Épica</t>
  </si>
  <si>
    <t xml:space="preserve">Historia de usuario</t>
  </si>
  <si>
    <t xml:space="preserve">Criterio de aceptación</t>
  </si>
  <si>
    <t xml:space="preserve">Prioridad</t>
  </si>
  <si>
    <t xml:space="preserve">MVP</t>
  </si>
  <si>
    <t xml:space="preserve">Horas estimadas</t>
  </si>
  <si>
    <t xml:space="preserve">Sprint</t>
  </si>
  <si>
    <t xml:space="preserve">Estado</t>
  </si>
  <si>
    <t xml:space="preserve">HU-01</t>
  </si>
  <si>
    <t xml:space="preserve">Repositorio, tablero y entorno</t>
  </si>
  <si>
    <t xml:space="preserve">Gestión y planificación</t>
  </si>
  <si>
    <t xml:space="preserve">Como estudiante, quiero crear el repositorio, el tablero y el entorno de desarrollo, para empezar a construir la plataforma.</t>
  </si>
  <si>
    <t xml:space="preserve">Repositorio en GitHub; tablero con este backlog; Node.js, PostgreSQL con PostGIS, Flutter y React funcionando.</t>
  </si>
  <si>
    <t xml:space="preserve">Alta</t>
  </si>
  <si>
    <t xml:space="preserve">Sí</t>
  </si>
  <si>
    <t xml:space="preserve">Pendiente</t>
  </si>
  <si>
    <t xml:space="preserve">HU-02</t>
  </si>
  <si>
    <t xml:space="preserve">Entrevistas a organizadores</t>
  </si>
  <si>
    <t xml:space="preserve">Requisitos</t>
  </si>
  <si>
    <t xml:space="preserve">Como estudiante, quiero entrevistar a 3 a 5 organizadores a distancia, para conocer cómo publican sus eventos y manejan las reservas.</t>
  </si>
  <si>
    <t xml:space="preserve">Notas anonimizadas ("Organizador 1", etc.) y consentimiento de cada participante guardados.</t>
  </si>
  <si>
    <t xml:space="preserve">HU-03</t>
  </si>
  <si>
    <t xml:space="preserve">Documento de requerimientos</t>
  </si>
  <si>
    <t xml:space="preserve">Como estudiante, quiero documentar los requerimientos funcionales y no funcionales, para tener la base del diseño.</t>
  </si>
  <si>
    <t xml:space="preserve">Documento revisado por el director, con los resultados de la encuesta, de las entrevistas y la matriz comparativa.</t>
  </si>
  <si>
    <t xml:space="preserve">HU-04</t>
  </si>
  <si>
    <t xml:space="preserve">Arquitectura del sistema</t>
  </si>
  <si>
    <t xml:space="preserve">Diseño</t>
  </si>
  <si>
    <t xml:space="preserve">Como estudiante, quiero definir la arquitectura cliente-servidor y las tecnologías, para tener la estructura técnica de la plataforma.</t>
  </si>
  <si>
    <t xml:space="preserve">Diagrama de arquitectura y tabla de tecnologías con su justificación.</t>
  </si>
  <si>
    <t xml:space="preserve">HU-05</t>
  </si>
  <si>
    <t xml:space="preserve">Modelo de datos</t>
  </si>
  <si>
    <t xml:space="preserve">Como estudiante, quiero diseñar el modelo de datos (usuarios, eventos, reservas y categorías), para guardar la información de forma ordenada.</t>
  </si>
  <si>
    <t xml:space="preserve">Diagrama entidad-relación y script que crea la base de datos con PostGIS.</t>
  </si>
  <si>
    <t xml:space="preserve">HU-06</t>
  </si>
  <si>
    <t xml:space="preserve">Prototipo de pantallas</t>
  </si>
  <si>
    <t xml:space="preserve">Como estudiante, quiero hacer el prototipo de las pantallas web y móvil, para validar la interfaz antes de programarla.</t>
  </si>
  <si>
    <t xml:space="preserve">Prototipo navegable de las historias del MVP, revisado por el director.</t>
  </si>
  <si>
    <t xml:space="preserve">HU-07</t>
  </si>
  <si>
    <t xml:space="preserve">Registro e inicio de sesión (organizador)</t>
  </si>
  <si>
    <t xml:space="preserve">Autenticación y seguridad</t>
  </si>
  <si>
    <t xml:space="preserve">Como organizador, quiero registrarme e iniciar sesión, para publicar mis eventos.</t>
  </si>
  <si>
    <t xml:space="preserve">Contraseña guardada con hash (Argon2id o bcrypt) con sal; el inicio de sesión entrega un token JWT de corta duración.</t>
  </si>
  <si>
    <t xml:space="preserve">HU-08</t>
  </si>
  <si>
    <t xml:space="preserve">Registro e inicio de sesión (visitante)</t>
  </si>
  <si>
    <t xml:space="preserve">Como visitante, quiero registrarme e iniciar sesión aceptando el aviso de privacidad, para usar la aplicación.</t>
  </si>
  <si>
    <t xml:space="preserve">Sin marcar la casilla de aceptación no se crea la cuenta; solo mayores de 18 años.</t>
  </si>
  <si>
    <t xml:space="preserve">HU-09</t>
  </si>
  <si>
    <t xml:space="preserve">Control de acceso por roles</t>
  </si>
  <si>
    <t xml:space="preserve">Como usuario, quiero que cada persona vea solo lo que le corresponde, para proteger la información.</t>
  </si>
  <si>
    <t xml:space="preserve">Un organizador solo edita sus eventos y ve sus reservas; un visitante solo ve y cancela las suyas.</t>
  </si>
  <si>
    <t xml:space="preserve">HU-10</t>
  </si>
  <si>
    <t xml:space="preserve">Seguridad básica</t>
  </si>
  <si>
    <t xml:space="preserve">Como estudiante, quiero aplicar las medidas básicas de seguridad, para proteger los datos de los usuarios.</t>
  </si>
  <si>
    <t xml:space="preserve">HTTPS, validación de datos en el servidor, consultas parametrizadas, límite de intentos de inicio de sesión y secretos en variables de entorno.</t>
  </si>
  <si>
    <t xml:space="preserve">HU-11</t>
  </si>
  <si>
    <t xml:space="preserve">Crear evento</t>
  </si>
  <si>
    <t xml:space="preserve">Gestión de eventos</t>
  </si>
  <si>
    <t xml:space="preserve">Como organizador, quiero crear un evento con título, fecha, lugar, categoría y cupos, para que los visitantes lo vean.</t>
  </si>
  <si>
    <t xml:space="preserve">El evento queda guardado y aparece en mi lista de eventos.</t>
  </si>
  <si>
    <t xml:space="preserve">HU-12</t>
  </si>
  <si>
    <t xml:space="preserve">Editar y deshabilitar evento</t>
  </si>
  <si>
    <t xml:space="preserve">Como organizador, quiero editar y deshabilitar mis eventos, para mantener la información al día.</t>
  </si>
  <si>
    <t xml:space="preserve">Los eventos deshabilitados dejan de verse para los visitantes.</t>
  </si>
  <si>
    <t xml:space="preserve">HU-13</t>
  </si>
  <si>
    <t xml:space="preserve">Ubicación del evento en el mapa</t>
  </si>
  <si>
    <t xml:space="preserve">Geolocalización</t>
  </si>
  <si>
    <t xml:space="preserve">Como organizador, quiero marcar la ubicación de mi evento en un mapa, para que los visitantes lo encuentren.</t>
  </si>
  <si>
    <t xml:space="preserve">Se guardan las coordenadas (latitud y longitud) del evento.</t>
  </si>
  <si>
    <t xml:space="preserve">HU-14</t>
  </si>
  <si>
    <t xml:space="preserve">Listar y filtrar eventos</t>
  </si>
  <si>
    <t xml:space="preserve">Como visitante, quiero ver y filtrar eventos por categoría y fecha, para encontrar los que me interesan.</t>
  </si>
  <si>
    <t xml:space="preserve">El filtro devuelve solo eventos futuros que coinciden con lo elegido.</t>
  </si>
  <si>
    <t xml:space="preserve">HU-15</t>
  </si>
  <si>
    <t xml:space="preserve">Mapa de eventos cercanos</t>
  </si>
  <si>
    <t xml:space="preserve">Como visitante, quiero ver en un mapa los eventos cercanos, para saber qué hay cerca de mí.</t>
  </si>
  <si>
    <t xml:space="preserve">Se muestran los eventos dentro del radio, con la atribución de OpenStreetMap.</t>
  </si>
  <si>
    <t xml:space="preserve">HU-16</t>
  </si>
  <si>
    <t xml:space="preserve">Reservar cupo</t>
  </si>
  <si>
    <t xml:space="preserve">Reservas</t>
  </si>
  <si>
    <t xml:space="preserve">Como visitante, quiero reservar un cupo, para asegurar mi lugar.</t>
  </si>
  <si>
    <t xml:space="preserve">El cupo se descuenta de forma segura; no se puede reservar si no hay cupo.</t>
  </si>
  <si>
    <t xml:space="preserve">HU-17</t>
  </si>
  <si>
    <t xml:space="preserve">Cancelar reserva</t>
  </si>
  <si>
    <t xml:space="preserve">Como visitante, quiero cancelar mi reserva, para liberar el cupo si no puedo asistir.</t>
  </si>
  <si>
    <t xml:space="preserve">El cupo vuelve a quedar disponible.</t>
  </si>
  <si>
    <t xml:space="preserve">HU-18</t>
  </si>
  <si>
    <t xml:space="preserve">Reservas del organizador</t>
  </si>
  <si>
    <t xml:space="preserve">Como organizador, quiero consultar las reservas de mis eventos, para controlar el aforo.</t>
  </si>
  <si>
    <t xml:space="preserve">Solo veo las reservas de mis eventos, con cupos ocupados y disponibles.</t>
  </si>
  <si>
    <t xml:space="preserve">HU-19</t>
  </si>
  <si>
    <t xml:space="preserve">Categorías de interés</t>
  </si>
  <si>
    <t xml:space="preserve">Recomendaciones</t>
  </si>
  <si>
    <t xml:space="preserve">Como visitante, quiero elegir mis categorías de interés, para recibir recomendaciones personalizadas.</t>
  </si>
  <si>
    <t xml:space="preserve">Las categorías se guardan en mi perfil y puedo cambiarlas.</t>
  </si>
  <si>
    <t xml:space="preserve">Media</t>
  </si>
  <si>
    <t xml:space="preserve">HU-20</t>
  </si>
  <si>
    <t xml:space="preserve">Permiso de ubicación</t>
  </si>
  <si>
    <t xml:space="preserve">Como visitante, quiero decidir si comparto mi ubicación, para usar la aplicación sin perder privacidad.</t>
  </si>
  <si>
    <t xml:space="preserve">Con permiso se muestran los eventos cercanos; sin él, se muestran por categoría y fecha.</t>
  </si>
  <si>
    <t xml:space="preserve">HU-21</t>
  </si>
  <si>
    <t xml:space="preserve">Eliminar cuenta y datos</t>
  </si>
  <si>
    <t xml:space="preserve">Datos personales</t>
  </si>
  <si>
    <t xml:space="preserve">Como visitante, quiero eliminar mi cuenta y mis datos, para ejercer mis derechos.</t>
  </si>
  <si>
    <t xml:space="preserve">Los datos personales se borran de la base de datos.</t>
  </si>
  <si>
    <t xml:space="preserve">HU-22</t>
  </si>
  <si>
    <t xml:space="preserve">Recomendaciones por puntaje</t>
  </si>
  <si>
    <t xml:space="preserve">Como visitante, quiero recibir recomendaciones según mis gustos y mi ubicación, para encontrar eventos que me interesen.</t>
  </si>
  <si>
    <t xml:space="preserve">Filtra eventos futuros, con cupo y a menos de 10 km; puntaje: 50 % categoría, 30 % cercanía y 20 % fecha; muestra los 10 primeros; sin ubicación usa solo categoría y fecha.</t>
  </si>
  <si>
    <t xml:space="preserve">HU-23</t>
  </si>
  <si>
    <t xml:space="preserve">Datos de prueba</t>
  </si>
  <si>
    <t xml:space="preserve">Despliegue y datos de prueba</t>
  </si>
  <si>
    <t xml:space="preserve">Como estudiante, quiero cargar 200 eventos y 5 perfiles de prueba, para probar el rendimiento y las recomendaciones.</t>
  </si>
  <si>
    <t xml:space="preserve">Base de datos con al menos 200 eventos y 5 perfiles de recomendación.</t>
  </si>
  <si>
    <t xml:space="preserve">HU-24</t>
  </si>
  <si>
    <t xml:space="preserve">Ajuste de las interfaces</t>
  </si>
  <si>
    <t xml:space="preserve">Interfaces</t>
  </si>
  <si>
    <t xml:space="preserve">Como usuario, quiero interfaces claras en la web y en el móvil, para usar la plataforma sin dificultad.</t>
  </si>
  <si>
    <t xml:space="preserve">Las pantallas coinciden con el prototipo y funcionan en varios celulares.</t>
  </si>
  <si>
    <t xml:space="preserve">HU-25</t>
  </si>
  <si>
    <t xml:space="preserve">Despliegue en la nube</t>
  </si>
  <si>
    <t xml:space="preserve">Como estudiante, quiero desplegar la API y la base de datos en un servidor, para hacer las pruebas con usuarios.</t>
  </si>
  <si>
    <t xml:space="preserve">La plataforma es accesible por HTTPS desde la web y desde el celular.</t>
  </si>
  <si>
    <t xml:space="preserve">HU-26</t>
  </si>
  <si>
    <t xml:space="preserve">Pruebas funcionales</t>
  </si>
  <si>
    <t xml:space="preserve">Validación</t>
  </si>
  <si>
    <t xml:space="preserve">Como estudiante, quiero ejecutar casos de prueba por módulo, para verificar que cada función hace lo esperado.</t>
  </si>
  <si>
    <t xml:space="preserve">Casos de prueba por módulo (cantidad según la tabla de validación del documento); 100 % de los casos críticos y al menos 90 % del total aprobados.</t>
  </si>
  <si>
    <t xml:space="preserve">HU-27</t>
  </si>
  <si>
    <t xml:space="preserve">Pruebas de rendimiento</t>
  </si>
  <si>
    <t xml:space="preserve">Como estudiante, quiero medir los tiempos de respuesta de la API, para verificar su rapidez.</t>
  </si>
  <si>
    <t xml:space="preserve">Cada consulta principal se repite 30 veces; percentil 95 menor de 2 segundos.</t>
  </si>
  <si>
    <t xml:space="preserve">HU-28</t>
  </si>
  <si>
    <t xml:space="preserve">Preparar pruebas con usuarios</t>
  </si>
  <si>
    <t xml:space="preserve">Como estudiante, quiero preparar las tareas, el consentimiento y la escala SUS, para aplicar las pruebas con usuarios.</t>
  </si>
  <si>
    <t xml:space="preserve">6 tareas definidas, consentimiento y cuestionario SUS en español listos.</t>
  </si>
  <si>
    <t xml:space="preserve">HU-29</t>
  </si>
  <si>
    <t xml:space="preserve">Manuales técnico y de usuario</t>
  </si>
  <si>
    <t xml:space="preserve">Documentos y cierre</t>
  </si>
  <si>
    <t xml:space="preserve">Como estudiante, quiero redactar los manuales técnico y de usuario, para que otras personas entiendan y usen la plataforma.</t>
  </si>
  <si>
    <t xml:space="preserve">Dos manuales: cómo está construida y cómo se usa la plataforma.</t>
  </si>
  <si>
    <t xml:space="preserve">HU-30</t>
  </si>
  <si>
    <t xml:space="preserve">Pruebas con usuarios y SUS</t>
  </si>
  <si>
    <t xml:space="preserve">Como estudiante, quiero aplicar las pruebas con 10 a 15 usuarios, para medir la usabilidad.</t>
  </si>
  <si>
    <t xml:space="preserve">SUS promedio de 68 o más; al menos 80 % de tareas completadas sin ayuda; utilidad de las recomendaciones de 4 sobre 5 o más.</t>
  </si>
  <si>
    <t xml:space="preserve">HU-31</t>
  </si>
  <si>
    <t xml:space="preserve">Ajustes y correcciones</t>
  </si>
  <si>
    <t xml:space="preserve">Como estudiante, quiero corregir las fallas encontradas, para cumplir los criterios de aceptación.</t>
  </si>
  <si>
    <t xml:space="preserve">Las pruebas que no cumplieron los criterios se repiten y se documentan.</t>
  </si>
  <si>
    <t xml:space="preserve">HU-32</t>
  </si>
  <si>
    <t xml:space="preserve">Informe de validación</t>
  </si>
  <si>
    <t xml:space="preserve">Como estudiante, quiero elaborar el informe de validación, para documentar los resultados.</t>
  </si>
  <si>
    <t xml:space="preserve">Informe con los resultados de las pruebas funcionales, de rendimiento, de recomendaciones y de usabilidad.</t>
  </si>
  <si>
    <t xml:space="preserve">HU-33</t>
  </si>
  <si>
    <t xml:space="preserve">Documento final F-DC-125</t>
  </si>
  <si>
    <t xml:space="preserve">Como estudiante, quiero redactar el documento final y cargarlo en el sistema, para enviarlo a evaluación.</t>
  </si>
  <si>
    <t xml:space="preserve">Documento completo según el formato F-DC-125, cargado entre el 11/01/2027 y el 11/04/2027.</t>
  </si>
  <si>
    <t xml:space="preserve">HU-34</t>
  </si>
  <si>
    <t xml:space="preserve">Correcciones del evaluador</t>
  </si>
  <si>
    <t xml:space="preserve">Como estudiante, quiero atender las observaciones del evaluador, para que el documento sea aprobado.</t>
  </si>
  <si>
    <t xml:space="preserve">Observaciones atendidas y documento aprobado por el evaluador.</t>
  </si>
  <si>
    <t xml:space="preserve">HU-35</t>
  </si>
  <si>
    <t xml:space="preserve">Sustentación</t>
  </si>
  <si>
    <t xml:space="preserve">Como estudiante, quiero preparar la sustentación, para presentar y defender el trabajo.</t>
  </si>
  <si>
    <t xml:space="preserve">Presentación lista y ensayada.</t>
  </si>
  <si>
    <t xml:space="preserve">HU-36</t>
  </si>
  <si>
    <t xml:space="preserve">Aprobación del producto</t>
  </si>
  <si>
    <t xml:space="preserve">Como estudiante, quiero gestionar la carta o acta de aprobación del producto, para cumplir con el entregable de la modalidad.</t>
  </si>
  <si>
    <t xml:space="preserve">Carta o acta firmada por la dependencia o entidad que lo requiera, entregada a la coordinación.</t>
  </si>
  <si>
    <t xml:space="preserve">HU-37</t>
  </si>
  <si>
    <t xml:space="preserve">Registro del software y entrega final</t>
  </si>
  <si>
    <t xml:space="preserve">Como estudiante, quiero tramitar la solicitud de registro del software por medio de la institución, para protegerlo como soporte lógico.</t>
  </si>
  <si>
    <t xml:space="preserve">Solicitud de registro ante la Dirección Nacional de Derechos de Autor presentada y entrega final realizada.</t>
  </si>
  <si>
    <t xml:space="preserve">HU-38</t>
  </si>
  <si>
    <t xml:space="preserve">Favoritos</t>
  </si>
  <si>
    <t xml:space="preserve">Si hay tiempo</t>
  </si>
  <si>
    <t xml:space="preserve">Como visitante, quiero guardar eventos como favoritos, para encontrarlos después.</t>
  </si>
  <si>
    <t xml:space="preserve">Los favoritos se guardan en mi perfil.</t>
  </si>
  <si>
    <t xml:space="preserve">Baja</t>
  </si>
  <si>
    <t xml:space="preserve">No</t>
  </si>
  <si>
    <t xml:space="preserve">HU-39</t>
  </si>
  <si>
    <t xml:space="preserve">Búsqueda por texto</t>
  </si>
  <si>
    <t xml:space="preserve">Como visitante, quiero buscar eventos por texto, para encontrarlos más rápido.</t>
  </si>
  <si>
    <t xml:space="preserve">La búsqueda devuelve eventos cuyo título contiene el texto.</t>
  </si>
  <si>
    <t xml:space="preserve">HU-40</t>
  </si>
  <si>
    <t xml:space="preserve">Imagen del evento</t>
  </si>
  <si>
    <t xml:space="preserve">Como organizador, quiero agregar una imagen a mi evento, para hacerlo más atractivo.</t>
  </si>
  <si>
    <t xml:space="preserve">La imagen se muestra en la ficha del evento.</t>
  </si>
  <si>
    <t xml:space="preserve">HU-41</t>
  </si>
  <si>
    <t xml:space="preserve">Información adicional del evento</t>
  </si>
  <si>
    <t xml:space="preserve">Como visitante, quiero ver precio, restricción de edad, accesibilidad y fecha de última actualización, para tener información clara (resultado de la encuesta de diagnóstico).</t>
  </si>
  <si>
    <t xml:space="preserve">Los campos se muestran en la ficha del evento y el organizador puede editarlos.</t>
  </si>
  <si>
    <t xml:space="preserve">Inicio</t>
  </si>
  <si>
    <t xml:space="preserve">Fin</t>
  </si>
  <si>
    <t xml:space="preserve">Fase</t>
  </si>
  <si>
    <t xml:space="preserve">Horas disponibles</t>
  </si>
  <si>
    <t xml:space="preserve">Horas planificadas</t>
  </si>
  <si>
    <t xml:space="preserve">Diferencia</t>
  </si>
  <si>
    <t xml:space="preserve">Estado de la carga</t>
  </si>
  <si>
    <t xml:space="preserve">Horas terminadas</t>
  </si>
  <si>
    <t xml:space="preserve">Avance</t>
  </si>
  <si>
    <t xml:space="preserve">Requisitos y planificación</t>
  </si>
  <si>
    <t xml:space="preserve">Diseño del sistema</t>
  </si>
  <si>
    <t xml:space="preserve">Desarrollo del sistema</t>
  </si>
  <si>
    <t xml:space="preserve">Pruebas y validación</t>
  </si>
  <si>
    <t xml:space="preserve">Entregables finales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</si>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</sst>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"/>
    <numFmt numFmtId="167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32.8" hidden="false" customHeight="false" outlineLevel="0" collapsed="false">
      <c r="A1" s="1" t="s">
        <v>0</v>
      </c>
      <c r="B1" s="2"/>
    </row>
    <row r="2" customFormat="false" ht="46.2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4" t="s">
        <v>2</v>
      </c>
      <c r="B4" s="5"/>
    </row>
    <row r="5" customFormat="false" ht="23.85" hidden="false" customHeight="false" outlineLevel="0" collapsed="false">
      <c r="A5" s="2" t="s">
        <v>3</v>
      </c>
      <c r="B5" s="2" t="s">
        <v>4</v>
      </c>
    </row>
    <row r="6" customFormat="false" ht="23.85" hidden="false" customHeight="false" outlineLevel="0" collapsed="false">
      <c r="A6" s="2" t="s">
        <v>5</v>
      </c>
      <c r="B6" s="2" t="s">
        <v>6</v>
      </c>
    </row>
    <row r="7" customFormat="false" ht="23.8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s">
        <v>10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4" t="s">
        <v>11</v>
      </c>
      <c r="B10" s="5"/>
    </row>
    <row r="11" customFormat="false" ht="15" hidden="false" customHeight="false" outlineLevel="0" collapsed="false">
      <c r="A11" s="2" t="s">
        <v>12</v>
      </c>
      <c r="B11" s="6" t="n">
        <v>46308</v>
      </c>
    </row>
    <row r="12" customFormat="false" ht="15" hidden="false" customHeight="false" outlineLevel="0" collapsed="false">
      <c r="A12" s="2" t="s">
        <v>13</v>
      </c>
      <c r="B12" s="6" t="n">
        <v>46398</v>
      </c>
    </row>
    <row r="13" customFormat="false" ht="15" hidden="false" customHeight="false" outlineLevel="0" collapsed="false">
      <c r="A13" s="2" t="s">
        <v>14</v>
      </c>
      <c r="B13" s="6" t="n">
        <v>46488</v>
      </c>
    </row>
    <row r="14" customFormat="false" ht="15" hidden="false" customHeight="false" outlineLevel="0" collapsed="false">
      <c r="A14" s="2" t="s">
        <v>15</v>
      </c>
      <c r="B14" s="7" t="n">
        <f aca="true">B13-TODAY()</f>
        <v>172</v>
      </c>
    </row>
    <row r="15" customFormat="false" ht="15" hidden="false" customHeight="false" outlineLevel="0" collapsed="false">
      <c r="A15" s="2" t="s">
        <v>16</v>
      </c>
      <c r="B15" s="8" t="n">
        <f aca="false">Sprints!C12</f>
        <v>46474</v>
      </c>
    </row>
    <row r="16" customFormat="false" ht="23.85" hidden="false" customHeight="false" outlineLevel="0" collapsed="false">
      <c r="A16" s="2" t="s">
        <v>17</v>
      </c>
      <c r="B16" s="7" t="n">
        <f aca="false">B13-B15</f>
        <v>14</v>
      </c>
    </row>
    <row r="17" customFormat="false" ht="15" hidden="false" customHeight="false" outlineLevel="0" collapsed="false">
      <c r="A17" s="2" t="s">
        <v>18</v>
      </c>
      <c r="B17" s="2" t="s">
        <v>19</v>
      </c>
    </row>
    <row r="18" customFormat="false" ht="15" hidden="false" customHeight="false" outlineLevel="0" collapsed="false">
      <c r="A18" s="2"/>
      <c r="B18" s="2"/>
    </row>
    <row r="19" customFormat="false" ht="15" hidden="false" customHeight="false" outlineLevel="0" collapsed="false">
      <c r="A19" s="4" t="s">
        <v>20</v>
      </c>
      <c r="B19" s="5"/>
    </row>
    <row r="20" customFormat="false" ht="15" hidden="false" customHeight="false" outlineLevel="0" collapsed="false">
      <c r="A20" s="2" t="s">
        <v>21</v>
      </c>
      <c r="B20" s="7" t="n">
        <f aca="false">Sprints!F13</f>
        <v>147</v>
      </c>
    </row>
    <row r="21" customFormat="false" ht="15" hidden="false" customHeight="false" outlineLevel="0" collapsed="false">
      <c r="A21" s="2" t="s">
        <v>22</v>
      </c>
      <c r="B21" s="7" t="n">
        <f aca="false">Sprints!E13</f>
        <v>148</v>
      </c>
    </row>
    <row r="22" customFormat="false" ht="15" hidden="false" customHeight="false" outlineLevel="0" collapsed="false">
      <c r="A22" s="2" t="s">
        <v>23</v>
      </c>
      <c r="B22" s="7" t="n">
        <f aca="false">SUMIFS('Product Backlog'!H2:H60,'Product Backlog'!G2:G60,"No")</f>
        <v>13</v>
      </c>
    </row>
    <row r="23" customFormat="false" ht="15" hidden="false" customHeight="false" outlineLevel="0" collapsed="false">
      <c r="A23" s="2"/>
      <c r="B23" s="2"/>
    </row>
    <row r="24" customFormat="false" ht="15" hidden="false" customHeight="false" outlineLevel="0" collapsed="false">
      <c r="A24" s="4" t="s">
        <v>24</v>
      </c>
      <c r="B24" s="5"/>
    </row>
    <row r="25" customFormat="false" ht="23.85" hidden="false" customHeight="false" outlineLevel="0" collapsed="false">
      <c r="A25" s="2" t="s">
        <v>25</v>
      </c>
      <c r="B25" s="2" t="s">
        <v>26</v>
      </c>
    </row>
    <row r="26" customFormat="false" ht="23.85" hidden="false" customHeight="false" outlineLevel="0" collapsed="false">
      <c r="A26" s="2" t="s">
        <v>27</v>
      </c>
      <c r="B26" s="2" t="s">
        <v>28</v>
      </c>
    </row>
    <row r="27" customFormat="false" ht="23.85" hidden="false" customHeight="false" outlineLevel="0" collapsed="false">
      <c r="A27" s="2" t="s">
        <v>29</v>
      </c>
      <c r="B27" s="2" t="s">
        <v>30</v>
      </c>
    </row>
    <row r="28" customFormat="false" ht="15" hidden="false" customHeight="false" outlineLevel="0" collapsed="false">
      <c r="A28" s="2" t="s">
        <v>31</v>
      </c>
      <c r="B28" s="2" t="s">
        <v>32</v>
      </c>
    </row>
    <row r="29" customFormat="false" ht="23.85" hidden="false" customHeight="false" outlineLevel="0" collapsed="false">
      <c r="A29" s="2" t="s">
        <v>33</v>
      </c>
      <c r="B29" s="2" t="s">
        <v>34</v>
      </c>
    </row>
    <row r="30" customFormat="false" ht="15" hidden="false" customHeight="false" outlineLevel="0" collapsed="false">
      <c r="A30" s="2"/>
      <c r="B30" s="2"/>
    </row>
    <row r="31" customFormat="false" ht="15" hidden="false" customHeight="false" outlineLevel="0" collapsed="false">
      <c r="A31" s="4" t="s">
        <v>35</v>
      </c>
      <c r="B31" s="5"/>
    </row>
    <row r="32" customFormat="false" ht="15" hidden="false" customHeight="false" outlineLevel="0" collapsed="false">
      <c r="A32" s="9" t="s">
        <v>36</v>
      </c>
      <c r="B32" s="2" t="s">
        <v>37</v>
      </c>
    </row>
    <row r="33" customFormat="false" ht="15" hidden="false" customHeight="false" outlineLevel="0" collapsed="false">
      <c r="A33" s="2" t="s">
        <v>38</v>
      </c>
      <c r="B33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5" min="4" style="0" width="55"/>
    <col collapsed="false" customWidth="true" hidden="false" outlineLevel="0" max="6" min="6" style="0" width="10"/>
    <col collapsed="false" customWidth="true" hidden="false" outlineLevel="0" max="7" min="7" style="0" width="7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12"/>
  </cols>
  <sheetData>
    <row r="1" customFormat="false" ht="35.05" hidden="false" customHeight="fals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0" t="s">
        <v>49</v>
      </c>
    </row>
    <row r="2" customFormat="false" ht="23.85" hidden="false" customHeight="false" outlineLevel="0" collapsed="false">
      <c r="A2" s="11" t="s">
        <v>50</v>
      </c>
      <c r="B2" s="12" t="s">
        <v>51</v>
      </c>
      <c r="C2" s="12" t="s">
        <v>52</v>
      </c>
      <c r="D2" s="12" t="s">
        <v>53</v>
      </c>
      <c r="E2" s="12" t="s">
        <v>54</v>
      </c>
      <c r="F2" s="11" t="s">
        <v>55</v>
      </c>
      <c r="G2" s="11" t="s">
        <v>56</v>
      </c>
      <c r="H2" s="13" t="n">
        <v>3</v>
      </c>
      <c r="I2" s="13" t="n">
        <v>1</v>
      </c>
      <c r="J2" s="11" t="s">
        <v>57</v>
      </c>
    </row>
    <row r="3" customFormat="false" ht="35.05" hidden="false" customHeight="false" outlineLevel="0" collapsed="false">
      <c r="A3" s="14" t="s">
        <v>58</v>
      </c>
      <c r="B3" s="15" t="s">
        <v>59</v>
      </c>
      <c r="C3" s="15" t="s">
        <v>60</v>
      </c>
      <c r="D3" s="15" t="s">
        <v>61</v>
      </c>
      <c r="E3" s="15" t="s">
        <v>62</v>
      </c>
      <c r="F3" s="14" t="s">
        <v>55</v>
      </c>
      <c r="G3" s="14" t="s">
        <v>56</v>
      </c>
      <c r="H3" s="16" t="n">
        <v>5</v>
      </c>
      <c r="I3" s="16" t="n">
        <v>1</v>
      </c>
      <c r="J3" s="14" t="s">
        <v>57</v>
      </c>
    </row>
    <row r="4" customFormat="false" ht="23.85" hidden="false" customHeight="false" outlineLevel="0" collapsed="false">
      <c r="A4" s="11" t="s">
        <v>63</v>
      </c>
      <c r="B4" s="12" t="s">
        <v>64</v>
      </c>
      <c r="C4" s="12" t="s">
        <v>60</v>
      </c>
      <c r="D4" s="12" t="s">
        <v>65</v>
      </c>
      <c r="E4" s="12" t="s">
        <v>66</v>
      </c>
      <c r="F4" s="11" t="s">
        <v>55</v>
      </c>
      <c r="G4" s="11" t="s">
        <v>56</v>
      </c>
      <c r="H4" s="13" t="n">
        <v>8</v>
      </c>
      <c r="I4" s="13" t="n">
        <v>2</v>
      </c>
      <c r="J4" s="11" t="s">
        <v>57</v>
      </c>
    </row>
    <row r="5" customFormat="false" ht="23.85" hidden="false" customHeight="false" outlineLevel="0" collapsed="false">
      <c r="A5" s="14" t="s">
        <v>67</v>
      </c>
      <c r="B5" s="15" t="s">
        <v>68</v>
      </c>
      <c r="C5" s="15" t="s">
        <v>69</v>
      </c>
      <c r="D5" s="15" t="s">
        <v>70</v>
      </c>
      <c r="E5" s="15" t="s">
        <v>71</v>
      </c>
      <c r="F5" s="14" t="s">
        <v>55</v>
      </c>
      <c r="G5" s="14" t="s">
        <v>56</v>
      </c>
      <c r="H5" s="16" t="n">
        <v>4</v>
      </c>
      <c r="I5" s="16" t="n">
        <v>3</v>
      </c>
      <c r="J5" s="14" t="s">
        <v>57</v>
      </c>
    </row>
    <row r="6" customFormat="false" ht="35.05" hidden="false" customHeight="false" outlineLevel="0" collapsed="false">
      <c r="A6" s="11" t="s">
        <v>72</v>
      </c>
      <c r="B6" s="12" t="s">
        <v>73</v>
      </c>
      <c r="C6" s="12" t="s">
        <v>69</v>
      </c>
      <c r="D6" s="12" t="s">
        <v>74</v>
      </c>
      <c r="E6" s="12" t="s">
        <v>75</v>
      </c>
      <c r="F6" s="11" t="s">
        <v>55</v>
      </c>
      <c r="G6" s="11" t="s">
        <v>56</v>
      </c>
      <c r="H6" s="13" t="n">
        <v>4</v>
      </c>
      <c r="I6" s="13" t="n">
        <v>3</v>
      </c>
      <c r="J6" s="11" t="s">
        <v>57</v>
      </c>
    </row>
    <row r="7" customFormat="false" ht="23.85" hidden="false" customHeight="false" outlineLevel="0" collapsed="false">
      <c r="A7" s="14" t="s">
        <v>76</v>
      </c>
      <c r="B7" s="15" t="s">
        <v>77</v>
      </c>
      <c r="C7" s="15" t="s">
        <v>69</v>
      </c>
      <c r="D7" s="15" t="s">
        <v>78</v>
      </c>
      <c r="E7" s="15" t="s">
        <v>79</v>
      </c>
      <c r="F7" s="14" t="s">
        <v>55</v>
      </c>
      <c r="G7" s="14" t="s">
        <v>56</v>
      </c>
      <c r="H7" s="16" t="n">
        <v>8</v>
      </c>
      <c r="I7" s="16" t="n">
        <v>4</v>
      </c>
      <c r="J7" s="14" t="s">
        <v>57</v>
      </c>
    </row>
    <row r="8" customFormat="false" ht="23.85" hidden="false" customHeight="false" outlineLevel="0" collapsed="false">
      <c r="A8" s="11" t="s">
        <v>80</v>
      </c>
      <c r="B8" s="12" t="s">
        <v>81</v>
      </c>
      <c r="C8" s="12" t="s">
        <v>82</v>
      </c>
      <c r="D8" s="12" t="s">
        <v>83</v>
      </c>
      <c r="E8" s="12" t="s">
        <v>84</v>
      </c>
      <c r="F8" s="11" t="s">
        <v>55</v>
      </c>
      <c r="G8" s="11" t="s">
        <v>56</v>
      </c>
      <c r="H8" s="13" t="n">
        <v>5</v>
      </c>
      <c r="I8" s="13" t="n">
        <v>5</v>
      </c>
      <c r="J8" s="11" t="s">
        <v>57</v>
      </c>
    </row>
    <row r="9" customFormat="false" ht="23.85" hidden="false" customHeight="false" outlineLevel="0" collapsed="false">
      <c r="A9" s="14" t="s">
        <v>85</v>
      </c>
      <c r="B9" s="15" t="s">
        <v>86</v>
      </c>
      <c r="C9" s="15" t="s">
        <v>82</v>
      </c>
      <c r="D9" s="15" t="s">
        <v>87</v>
      </c>
      <c r="E9" s="15" t="s">
        <v>88</v>
      </c>
      <c r="F9" s="14" t="s">
        <v>55</v>
      </c>
      <c r="G9" s="14" t="s">
        <v>56</v>
      </c>
      <c r="H9" s="16" t="n">
        <v>3</v>
      </c>
      <c r="I9" s="16" t="n">
        <v>5</v>
      </c>
      <c r="J9" s="14" t="s">
        <v>57</v>
      </c>
    </row>
    <row r="10" customFormat="false" ht="23.85" hidden="false" customHeight="false" outlineLevel="0" collapsed="false">
      <c r="A10" s="11" t="s">
        <v>89</v>
      </c>
      <c r="B10" s="12" t="s">
        <v>90</v>
      </c>
      <c r="C10" s="12" t="s">
        <v>82</v>
      </c>
      <c r="D10" s="12" t="s">
        <v>91</v>
      </c>
      <c r="E10" s="12" t="s">
        <v>92</v>
      </c>
      <c r="F10" s="11" t="s">
        <v>55</v>
      </c>
      <c r="G10" s="11" t="s">
        <v>56</v>
      </c>
      <c r="H10" s="13" t="n">
        <v>3</v>
      </c>
      <c r="I10" s="13" t="n">
        <v>5</v>
      </c>
      <c r="J10" s="11" t="s">
        <v>57</v>
      </c>
    </row>
    <row r="11" customFormat="false" ht="35.05" hidden="false" customHeight="false" outlineLevel="0" collapsed="false">
      <c r="A11" s="14" t="s">
        <v>93</v>
      </c>
      <c r="B11" s="15" t="s">
        <v>94</v>
      </c>
      <c r="C11" s="15" t="s">
        <v>82</v>
      </c>
      <c r="D11" s="15" t="s">
        <v>95</v>
      </c>
      <c r="E11" s="15" t="s">
        <v>96</v>
      </c>
      <c r="F11" s="14" t="s">
        <v>55</v>
      </c>
      <c r="G11" s="14" t="s">
        <v>56</v>
      </c>
      <c r="H11" s="16" t="n">
        <v>3</v>
      </c>
      <c r="I11" s="16" t="n">
        <v>5</v>
      </c>
      <c r="J11" s="14" t="s">
        <v>57</v>
      </c>
    </row>
    <row r="12" customFormat="false" ht="23.85" hidden="false" customHeight="false" outlineLevel="0" collapsed="false">
      <c r="A12" s="11" t="s">
        <v>97</v>
      </c>
      <c r="B12" s="12" t="s">
        <v>98</v>
      </c>
      <c r="C12" s="12" t="s">
        <v>99</v>
      </c>
      <c r="D12" s="12" t="s">
        <v>100</v>
      </c>
      <c r="E12" s="12" t="s">
        <v>101</v>
      </c>
      <c r="F12" s="11" t="s">
        <v>55</v>
      </c>
      <c r="G12" s="11" t="s">
        <v>56</v>
      </c>
      <c r="H12" s="13" t="n">
        <v>5</v>
      </c>
      <c r="I12" s="13" t="n">
        <v>6</v>
      </c>
      <c r="J12" s="11" t="s">
        <v>57</v>
      </c>
    </row>
    <row r="13" customFormat="false" ht="23.85" hidden="false" customHeight="false" outlineLevel="0" collapsed="false">
      <c r="A13" s="14" t="s">
        <v>102</v>
      </c>
      <c r="B13" s="15" t="s">
        <v>103</v>
      </c>
      <c r="C13" s="15" t="s">
        <v>99</v>
      </c>
      <c r="D13" s="15" t="s">
        <v>104</v>
      </c>
      <c r="E13" s="15" t="s">
        <v>105</v>
      </c>
      <c r="F13" s="14" t="s">
        <v>55</v>
      </c>
      <c r="G13" s="14" t="s">
        <v>56</v>
      </c>
      <c r="H13" s="16" t="n">
        <v>3</v>
      </c>
      <c r="I13" s="16" t="n">
        <v>6</v>
      </c>
      <c r="J13" s="14" t="s">
        <v>57</v>
      </c>
    </row>
    <row r="14" customFormat="false" ht="23.85" hidden="false" customHeight="false" outlineLevel="0" collapsed="false">
      <c r="A14" s="11" t="s">
        <v>106</v>
      </c>
      <c r="B14" s="12" t="s">
        <v>107</v>
      </c>
      <c r="C14" s="12" t="s">
        <v>108</v>
      </c>
      <c r="D14" s="12" t="s">
        <v>109</v>
      </c>
      <c r="E14" s="12" t="s">
        <v>110</v>
      </c>
      <c r="F14" s="11" t="s">
        <v>55</v>
      </c>
      <c r="G14" s="11" t="s">
        <v>56</v>
      </c>
      <c r="H14" s="13" t="n">
        <v>3</v>
      </c>
      <c r="I14" s="13" t="n">
        <v>6</v>
      </c>
      <c r="J14" s="11" t="s">
        <v>57</v>
      </c>
    </row>
    <row r="15" customFormat="false" ht="23.85" hidden="false" customHeight="false" outlineLevel="0" collapsed="false">
      <c r="A15" s="14" t="s">
        <v>111</v>
      </c>
      <c r="B15" s="15" t="s">
        <v>112</v>
      </c>
      <c r="C15" s="15" t="s">
        <v>99</v>
      </c>
      <c r="D15" s="15" t="s">
        <v>113</v>
      </c>
      <c r="E15" s="15" t="s">
        <v>114</v>
      </c>
      <c r="F15" s="14" t="s">
        <v>55</v>
      </c>
      <c r="G15" s="14" t="s">
        <v>56</v>
      </c>
      <c r="H15" s="16" t="n">
        <v>4</v>
      </c>
      <c r="I15" s="16" t="n">
        <v>6</v>
      </c>
      <c r="J15" s="14" t="s">
        <v>57</v>
      </c>
    </row>
    <row r="16" customFormat="false" ht="23.85" hidden="false" customHeight="false" outlineLevel="0" collapsed="false">
      <c r="A16" s="11" t="s">
        <v>115</v>
      </c>
      <c r="B16" s="12" t="s">
        <v>116</v>
      </c>
      <c r="C16" s="12" t="s">
        <v>108</v>
      </c>
      <c r="D16" s="12" t="s">
        <v>117</v>
      </c>
      <c r="E16" s="12" t="s">
        <v>118</v>
      </c>
      <c r="F16" s="11" t="s">
        <v>55</v>
      </c>
      <c r="G16" s="11" t="s">
        <v>56</v>
      </c>
      <c r="H16" s="13" t="n">
        <v>5</v>
      </c>
      <c r="I16" s="13" t="n">
        <v>6</v>
      </c>
      <c r="J16" s="11" t="s">
        <v>57</v>
      </c>
    </row>
    <row r="17" customFormat="false" ht="23.85" hidden="false" customHeight="false" outlineLevel="0" collapsed="false">
      <c r="A17" s="14" t="s">
        <v>119</v>
      </c>
      <c r="B17" s="15" t="s">
        <v>120</v>
      </c>
      <c r="C17" s="15" t="s">
        <v>121</v>
      </c>
      <c r="D17" s="15" t="s">
        <v>122</v>
      </c>
      <c r="E17" s="15" t="s">
        <v>123</v>
      </c>
      <c r="F17" s="14" t="s">
        <v>55</v>
      </c>
      <c r="G17" s="14" t="s">
        <v>56</v>
      </c>
      <c r="H17" s="16" t="n">
        <v>5</v>
      </c>
      <c r="I17" s="16" t="n">
        <v>7</v>
      </c>
      <c r="J17" s="14" t="s">
        <v>57</v>
      </c>
    </row>
    <row r="18" customFormat="false" ht="23.85" hidden="false" customHeight="false" outlineLevel="0" collapsed="false">
      <c r="A18" s="11" t="s">
        <v>124</v>
      </c>
      <c r="B18" s="12" t="s">
        <v>125</v>
      </c>
      <c r="C18" s="12" t="s">
        <v>121</v>
      </c>
      <c r="D18" s="12" t="s">
        <v>126</v>
      </c>
      <c r="E18" s="12" t="s">
        <v>127</v>
      </c>
      <c r="F18" s="11" t="s">
        <v>55</v>
      </c>
      <c r="G18" s="11" t="s">
        <v>56</v>
      </c>
      <c r="H18" s="13" t="n">
        <v>2</v>
      </c>
      <c r="I18" s="13" t="n">
        <v>7</v>
      </c>
      <c r="J18" s="11" t="s">
        <v>57</v>
      </c>
    </row>
    <row r="19" customFormat="false" ht="23.85" hidden="false" customHeight="false" outlineLevel="0" collapsed="false">
      <c r="A19" s="14" t="s">
        <v>128</v>
      </c>
      <c r="B19" s="15" t="s">
        <v>129</v>
      </c>
      <c r="C19" s="15" t="s">
        <v>121</v>
      </c>
      <c r="D19" s="15" t="s">
        <v>130</v>
      </c>
      <c r="E19" s="15" t="s">
        <v>131</v>
      </c>
      <c r="F19" s="14" t="s">
        <v>55</v>
      </c>
      <c r="G19" s="14" t="s">
        <v>56</v>
      </c>
      <c r="H19" s="16" t="n">
        <v>3</v>
      </c>
      <c r="I19" s="16" t="n">
        <v>7</v>
      </c>
      <c r="J19" s="14" t="s">
        <v>57</v>
      </c>
    </row>
    <row r="20" customFormat="false" ht="23.85" hidden="false" customHeight="false" outlineLevel="0" collapsed="false">
      <c r="A20" s="11" t="s">
        <v>132</v>
      </c>
      <c r="B20" s="12" t="s">
        <v>133</v>
      </c>
      <c r="C20" s="12" t="s">
        <v>134</v>
      </c>
      <c r="D20" s="12" t="s">
        <v>135</v>
      </c>
      <c r="E20" s="12" t="s">
        <v>136</v>
      </c>
      <c r="F20" s="11" t="s">
        <v>137</v>
      </c>
      <c r="G20" s="11" t="s">
        <v>56</v>
      </c>
      <c r="H20" s="13" t="n">
        <v>3</v>
      </c>
      <c r="I20" s="13" t="n">
        <v>7</v>
      </c>
      <c r="J20" s="11" t="s">
        <v>57</v>
      </c>
    </row>
    <row r="21" customFormat="false" ht="23.85" hidden="false" customHeight="false" outlineLevel="0" collapsed="false">
      <c r="A21" s="14" t="s">
        <v>138</v>
      </c>
      <c r="B21" s="15" t="s">
        <v>139</v>
      </c>
      <c r="C21" s="15" t="s">
        <v>108</v>
      </c>
      <c r="D21" s="15" t="s">
        <v>140</v>
      </c>
      <c r="E21" s="15" t="s">
        <v>141</v>
      </c>
      <c r="F21" s="14" t="s">
        <v>55</v>
      </c>
      <c r="G21" s="14" t="s">
        <v>56</v>
      </c>
      <c r="H21" s="16" t="n">
        <v>3</v>
      </c>
      <c r="I21" s="16" t="n">
        <v>7</v>
      </c>
      <c r="J21" s="14" t="s">
        <v>57</v>
      </c>
    </row>
    <row r="22" customFormat="false" ht="23.85" hidden="false" customHeight="false" outlineLevel="0" collapsed="false">
      <c r="A22" s="11" t="s">
        <v>142</v>
      </c>
      <c r="B22" s="12" t="s">
        <v>143</v>
      </c>
      <c r="C22" s="12" t="s">
        <v>144</v>
      </c>
      <c r="D22" s="12" t="s">
        <v>145</v>
      </c>
      <c r="E22" s="12" t="s">
        <v>146</v>
      </c>
      <c r="F22" s="11" t="s">
        <v>55</v>
      </c>
      <c r="G22" s="11" t="s">
        <v>56</v>
      </c>
      <c r="H22" s="13" t="n">
        <v>3</v>
      </c>
      <c r="I22" s="13" t="n">
        <v>7</v>
      </c>
      <c r="J22" s="11" t="s">
        <v>57</v>
      </c>
    </row>
    <row r="23" customFormat="false" ht="35.05" hidden="false" customHeight="false" outlineLevel="0" collapsed="false">
      <c r="A23" s="14" t="s">
        <v>147</v>
      </c>
      <c r="B23" s="15" t="s">
        <v>148</v>
      </c>
      <c r="C23" s="15" t="s">
        <v>134</v>
      </c>
      <c r="D23" s="15" t="s">
        <v>149</v>
      </c>
      <c r="E23" s="15" t="s">
        <v>150</v>
      </c>
      <c r="F23" s="14" t="s">
        <v>137</v>
      </c>
      <c r="G23" s="14" t="s">
        <v>56</v>
      </c>
      <c r="H23" s="16" t="n">
        <v>8</v>
      </c>
      <c r="I23" s="16" t="n">
        <v>8</v>
      </c>
      <c r="J23" s="14" t="s">
        <v>57</v>
      </c>
    </row>
    <row r="24" customFormat="false" ht="23.85" hidden="false" customHeight="false" outlineLevel="0" collapsed="false">
      <c r="A24" s="11" t="s">
        <v>151</v>
      </c>
      <c r="B24" s="12" t="s">
        <v>152</v>
      </c>
      <c r="C24" s="12" t="s">
        <v>153</v>
      </c>
      <c r="D24" s="12" t="s">
        <v>154</v>
      </c>
      <c r="E24" s="12" t="s">
        <v>155</v>
      </c>
      <c r="F24" s="11" t="s">
        <v>55</v>
      </c>
      <c r="G24" s="11" t="s">
        <v>56</v>
      </c>
      <c r="H24" s="13" t="n">
        <v>3</v>
      </c>
      <c r="I24" s="13" t="n">
        <v>8</v>
      </c>
      <c r="J24" s="11" t="s">
        <v>57</v>
      </c>
    </row>
    <row r="25" customFormat="false" ht="23.85" hidden="false" customHeight="false" outlineLevel="0" collapsed="false">
      <c r="A25" s="14" t="s">
        <v>156</v>
      </c>
      <c r="B25" s="15" t="s">
        <v>157</v>
      </c>
      <c r="C25" s="15" t="s">
        <v>158</v>
      </c>
      <c r="D25" s="15" t="s">
        <v>159</v>
      </c>
      <c r="E25" s="15" t="s">
        <v>160</v>
      </c>
      <c r="F25" s="14" t="s">
        <v>137</v>
      </c>
      <c r="G25" s="14" t="s">
        <v>56</v>
      </c>
      <c r="H25" s="16" t="n">
        <v>6</v>
      </c>
      <c r="I25" s="16" t="n">
        <v>8</v>
      </c>
      <c r="J25" s="14" t="s">
        <v>57</v>
      </c>
    </row>
    <row r="26" customFormat="false" ht="23.85" hidden="false" customHeight="false" outlineLevel="0" collapsed="false">
      <c r="A26" s="11" t="s">
        <v>161</v>
      </c>
      <c r="B26" s="12" t="s">
        <v>162</v>
      </c>
      <c r="C26" s="12" t="s">
        <v>153</v>
      </c>
      <c r="D26" s="12" t="s">
        <v>163</v>
      </c>
      <c r="E26" s="12" t="s">
        <v>164</v>
      </c>
      <c r="F26" s="11" t="s">
        <v>55</v>
      </c>
      <c r="G26" s="11" t="s">
        <v>56</v>
      </c>
      <c r="H26" s="13" t="n">
        <v>3</v>
      </c>
      <c r="I26" s="13" t="n">
        <v>8</v>
      </c>
      <c r="J26" s="11" t="s">
        <v>57</v>
      </c>
    </row>
    <row r="27" customFormat="false" ht="35.05" hidden="false" customHeight="false" outlineLevel="0" collapsed="false">
      <c r="A27" s="14" t="s">
        <v>165</v>
      </c>
      <c r="B27" s="15" t="s">
        <v>166</v>
      </c>
      <c r="C27" s="15" t="s">
        <v>167</v>
      </c>
      <c r="D27" s="15" t="s">
        <v>168</v>
      </c>
      <c r="E27" s="15" t="s">
        <v>169</v>
      </c>
      <c r="F27" s="14" t="s">
        <v>55</v>
      </c>
      <c r="G27" s="14" t="s">
        <v>56</v>
      </c>
      <c r="H27" s="16" t="n">
        <v>5</v>
      </c>
      <c r="I27" s="16" t="n">
        <v>9</v>
      </c>
      <c r="J27" s="14" t="s">
        <v>57</v>
      </c>
    </row>
    <row r="28" customFormat="false" ht="23.85" hidden="false" customHeight="false" outlineLevel="0" collapsed="false">
      <c r="A28" s="11" t="s">
        <v>170</v>
      </c>
      <c r="B28" s="12" t="s">
        <v>171</v>
      </c>
      <c r="C28" s="12" t="s">
        <v>167</v>
      </c>
      <c r="D28" s="12" t="s">
        <v>172</v>
      </c>
      <c r="E28" s="12" t="s">
        <v>173</v>
      </c>
      <c r="F28" s="11" t="s">
        <v>55</v>
      </c>
      <c r="G28" s="11" t="s">
        <v>56</v>
      </c>
      <c r="H28" s="13" t="n">
        <v>3</v>
      </c>
      <c r="I28" s="13" t="n">
        <v>9</v>
      </c>
      <c r="J28" s="11" t="s">
        <v>57</v>
      </c>
    </row>
    <row r="29" customFormat="false" ht="23.85" hidden="false" customHeight="false" outlineLevel="0" collapsed="false">
      <c r="A29" s="14" t="s">
        <v>174</v>
      </c>
      <c r="B29" s="15" t="s">
        <v>175</v>
      </c>
      <c r="C29" s="15" t="s">
        <v>167</v>
      </c>
      <c r="D29" s="15" t="s">
        <v>176</v>
      </c>
      <c r="E29" s="15" t="s">
        <v>177</v>
      </c>
      <c r="F29" s="14" t="s">
        <v>55</v>
      </c>
      <c r="G29" s="14" t="s">
        <v>56</v>
      </c>
      <c r="H29" s="16" t="n">
        <v>2</v>
      </c>
      <c r="I29" s="16" t="n">
        <v>9</v>
      </c>
      <c r="J29" s="14" t="s">
        <v>57</v>
      </c>
    </row>
    <row r="30" customFormat="false" ht="23.85" hidden="false" customHeight="false" outlineLevel="0" collapsed="false">
      <c r="A30" s="11" t="s">
        <v>178</v>
      </c>
      <c r="B30" s="12" t="s">
        <v>179</v>
      </c>
      <c r="C30" s="12" t="s">
        <v>180</v>
      </c>
      <c r="D30" s="12" t="s">
        <v>181</v>
      </c>
      <c r="E30" s="12" t="s">
        <v>182</v>
      </c>
      <c r="F30" s="11" t="s">
        <v>55</v>
      </c>
      <c r="G30" s="11" t="s">
        <v>56</v>
      </c>
      <c r="H30" s="13" t="n">
        <v>4</v>
      </c>
      <c r="I30" s="13" t="n">
        <v>9</v>
      </c>
      <c r="J30" s="11" t="s">
        <v>57</v>
      </c>
    </row>
    <row r="31" customFormat="false" ht="23.85" hidden="false" customHeight="false" outlineLevel="0" collapsed="false">
      <c r="A31" s="14" t="s">
        <v>183</v>
      </c>
      <c r="B31" s="15" t="s">
        <v>184</v>
      </c>
      <c r="C31" s="15" t="s">
        <v>167</v>
      </c>
      <c r="D31" s="15" t="s">
        <v>185</v>
      </c>
      <c r="E31" s="15" t="s">
        <v>186</v>
      </c>
      <c r="F31" s="14" t="s">
        <v>55</v>
      </c>
      <c r="G31" s="14" t="s">
        <v>56</v>
      </c>
      <c r="H31" s="16" t="n">
        <v>4</v>
      </c>
      <c r="I31" s="16" t="n">
        <v>10</v>
      </c>
      <c r="J31" s="14" t="s">
        <v>57</v>
      </c>
    </row>
    <row r="32" customFormat="false" ht="23.85" hidden="false" customHeight="false" outlineLevel="0" collapsed="false">
      <c r="A32" s="11" t="s">
        <v>187</v>
      </c>
      <c r="B32" s="12" t="s">
        <v>188</v>
      </c>
      <c r="C32" s="12" t="s">
        <v>167</v>
      </c>
      <c r="D32" s="12" t="s">
        <v>189</v>
      </c>
      <c r="E32" s="12" t="s">
        <v>190</v>
      </c>
      <c r="F32" s="11" t="s">
        <v>55</v>
      </c>
      <c r="G32" s="11" t="s">
        <v>56</v>
      </c>
      <c r="H32" s="13" t="n">
        <v>3</v>
      </c>
      <c r="I32" s="13" t="n">
        <v>10</v>
      </c>
      <c r="J32" s="11" t="s">
        <v>57</v>
      </c>
    </row>
    <row r="33" customFormat="false" ht="23.85" hidden="false" customHeight="false" outlineLevel="0" collapsed="false">
      <c r="A33" s="14" t="s">
        <v>191</v>
      </c>
      <c r="B33" s="15" t="s">
        <v>192</v>
      </c>
      <c r="C33" s="15" t="s">
        <v>180</v>
      </c>
      <c r="D33" s="15" t="s">
        <v>193</v>
      </c>
      <c r="E33" s="15" t="s">
        <v>194</v>
      </c>
      <c r="F33" s="14" t="s">
        <v>55</v>
      </c>
      <c r="G33" s="14" t="s">
        <v>56</v>
      </c>
      <c r="H33" s="16" t="n">
        <v>3</v>
      </c>
      <c r="I33" s="16" t="n">
        <v>10</v>
      </c>
      <c r="J33" s="14" t="s">
        <v>57</v>
      </c>
    </row>
    <row r="34" customFormat="false" ht="23.85" hidden="false" customHeight="false" outlineLevel="0" collapsed="false">
      <c r="A34" s="11" t="s">
        <v>195</v>
      </c>
      <c r="B34" s="12" t="s">
        <v>196</v>
      </c>
      <c r="C34" s="12" t="s">
        <v>180</v>
      </c>
      <c r="D34" s="12" t="s">
        <v>197</v>
      </c>
      <c r="E34" s="12" t="s">
        <v>198</v>
      </c>
      <c r="F34" s="11" t="s">
        <v>55</v>
      </c>
      <c r="G34" s="11" t="s">
        <v>56</v>
      </c>
      <c r="H34" s="13" t="n">
        <v>4</v>
      </c>
      <c r="I34" s="13" t="n">
        <v>10</v>
      </c>
      <c r="J34" s="11" t="s">
        <v>57</v>
      </c>
    </row>
    <row r="35" customFormat="false" ht="23.85" hidden="false" customHeight="false" outlineLevel="0" collapsed="false">
      <c r="A35" s="14" t="s">
        <v>199</v>
      </c>
      <c r="B35" s="15" t="s">
        <v>200</v>
      </c>
      <c r="C35" s="15" t="s">
        <v>180</v>
      </c>
      <c r="D35" s="15" t="s">
        <v>201</v>
      </c>
      <c r="E35" s="15" t="s">
        <v>202</v>
      </c>
      <c r="F35" s="14" t="s">
        <v>55</v>
      </c>
      <c r="G35" s="14" t="s">
        <v>56</v>
      </c>
      <c r="H35" s="16" t="n">
        <v>5</v>
      </c>
      <c r="I35" s="16" t="n">
        <v>11</v>
      </c>
      <c r="J35" s="14" t="s">
        <v>57</v>
      </c>
    </row>
    <row r="36" customFormat="false" ht="23.85" hidden="false" customHeight="false" outlineLevel="0" collapsed="false">
      <c r="A36" s="11" t="s">
        <v>203</v>
      </c>
      <c r="B36" s="12" t="s">
        <v>204</v>
      </c>
      <c r="C36" s="12" t="s">
        <v>180</v>
      </c>
      <c r="D36" s="12" t="s">
        <v>205</v>
      </c>
      <c r="E36" s="12" t="s">
        <v>206</v>
      </c>
      <c r="F36" s="11" t="s">
        <v>55</v>
      </c>
      <c r="G36" s="11" t="s">
        <v>56</v>
      </c>
      <c r="H36" s="13" t="n">
        <v>4</v>
      </c>
      <c r="I36" s="13" t="n">
        <v>11</v>
      </c>
      <c r="J36" s="11" t="s">
        <v>57</v>
      </c>
    </row>
    <row r="37" customFormat="false" ht="23.85" hidden="false" customHeight="false" outlineLevel="0" collapsed="false">
      <c r="A37" s="14" t="s">
        <v>207</v>
      </c>
      <c r="B37" s="15" t="s">
        <v>208</v>
      </c>
      <c r="C37" s="15" t="s">
        <v>180</v>
      </c>
      <c r="D37" s="15" t="s">
        <v>209</v>
      </c>
      <c r="E37" s="15" t="s">
        <v>210</v>
      </c>
      <c r="F37" s="14" t="s">
        <v>55</v>
      </c>
      <c r="G37" s="14" t="s">
        <v>56</v>
      </c>
      <c r="H37" s="16" t="n">
        <v>2</v>
      </c>
      <c r="I37" s="16" t="n">
        <v>11</v>
      </c>
      <c r="J37" s="14" t="s">
        <v>57</v>
      </c>
    </row>
    <row r="38" customFormat="false" ht="35.05" hidden="false" customHeight="false" outlineLevel="0" collapsed="false">
      <c r="A38" s="11" t="s">
        <v>211</v>
      </c>
      <c r="B38" s="12" t="s">
        <v>212</v>
      </c>
      <c r="C38" s="12" t="s">
        <v>180</v>
      </c>
      <c r="D38" s="12" t="s">
        <v>213</v>
      </c>
      <c r="E38" s="12" t="s">
        <v>214</v>
      </c>
      <c r="F38" s="11" t="s">
        <v>55</v>
      </c>
      <c r="G38" s="11" t="s">
        <v>56</v>
      </c>
      <c r="H38" s="13" t="n">
        <v>3</v>
      </c>
      <c r="I38" s="13" t="n">
        <v>11</v>
      </c>
      <c r="J38" s="11" t="s">
        <v>57</v>
      </c>
    </row>
    <row r="39" customFormat="false" ht="23.85" hidden="false" customHeight="false" outlineLevel="0" collapsed="false">
      <c r="A39" s="14" t="s">
        <v>215</v>
      </c>
      <c r="B39" s="15" t="s">
        <v>216</v>
      </c>
      <c r="C39" s="15" t="s">
        <v>217</v>
      </c>
      <c r="D39" s="15" t="s">
        <v>218</v>
      </c>
      <c r="E39" s="15" t="s">
        <v>219</v>
      </c>
      <c r="F39" s="14" t="s">
        <v>220</v>
      </c>
      <c r="G39" s="14" t="s">
        <v>221</v>
      </c>
      <c r="H39" s="16" t="n">
        <v>3</v>
      </c>
      <c r="I39" s="16"/>
      <c r="J39" s="14" t="s">
        <v>57</v>
      </c>
    </row>
    <row r="40" customFormat="false" ht="23.85" hidden="false" customHeight="false" outlineLevel="0" collapsed="false">
      <c r="A40" s="11" t="s">
        <v>222</v>
      </c>
      <c r="B40" s="12" t="s">
        <v>223</v>
      </c>
      <c r="C40" s="12" t="s">
        <v>217</v>
      </c>
      <c r="D40" s="12" t="s">
        <v>224</v>
      </c>
      <c r="E40" s="12" t="s">
        <v>225</v>
      </c>
      <c r="F40" s="11" t="s">
        <v>220</v>
      </c>
      <c r="G40" s="11" t="s">
        <v>221</v>
      </c>
      <c r="H40" s="13" t="n">
        <v>3</v>
      </c>
      <c r="I40" s="13"/>
      <c r="J40" s="11" t="s">
        <v>57</v>
      </c>
    </row>
    <row r="41" customFormat="false" ht="23.85" hidden="false" customHeight="false" outlineLevel="0" collapsed="false">
      <c r="A41" s="14" t="s">
        <v>226</v>
      </c>
      <c r="B41" s="15" t="s">
        <v>227</v>
      </c>
      <c r="C41" s="15" t="s">
        <v>217</v>
      </c>
      <c r="D41" s="15" t="s">
        <v>228</v>
      </c>
      <c r="E41" s="15" t="s">
        <v>229</v>
      </c>
      <c r="F41" s="14" t="s">
        <v>220</v>
      </c>
      <c r="G41" s="14" t="s">
        <v>221</v>
      </c>
      <c r="H41" s="16" t="n">
        <v>3</v>
      </c>
      <c r="I41" s="16"/>
      <c r="J41" s="14" t="s">
        <v>57</v>
      </c>
    </row>
    <row r="42" customFormat="false" ht="35.05" hidden="false" customHeight="false" outlineLevel="0" collapsed="false">
      <c r="A42" s="11" t="s">
        <v>230</v>
      </c>
      <c r="B42" s="12" t="s">
        <v>231</v>
      </c>
      <c r="C42" s="12" t="s">
        <v>217</v>
      </c>
      <c r="D42" s="12" t="s">
        <v>232</v>
      </c>
      <c r="E42" s="12" t="s">
        <v>233</v>
      </c>
      <c r="F42" s="11" t="s">
        <v>220</v>
      </c>
      <c r="G42" s="11" t="s">
        <v>221</v>
      </c>
      <c r="H42" s="13" t="n">
        <v>4</v>
      </c>
      <c r="I42" s="13"/>
      <c r="J42" s="11" t="s">
        <v>57</v>
      </c>
    </row>
  </sheetData>
  <autoFilter ref="A1:J42"/>
  <conditionalFormatting sqref="J2:J60">
    <cfRule type="cellIs" priority="2" operator="equal" aboveAverage="0" equalAverage="0" bottom="0" percent="0" rank="0" text="" dxfId="5">
      <formula>"Terminada"</formula>
    </cfRule>
    <cfRule type="cellIs" priority="3" operator="equal" aboveAverage="0" equalAverage="0" bottom="0" percent="0" rank="0" text="" dxfId="6">
      <formula>"En curso"</formula>
    </cfRule>
  </conditionalFormatting>
  <dataValidations count="4">
    <dataValidation allowBlank="true" errorStyle="stop" operator="between" showDropDown="false" showErrorMessage="false" showInputMessage="false" sqref="F2:F60" type="list">
      <formula1>"Alta,Media,Baja"</formula1>
      <formula2>0</formula2>
    </dataValidation>
    <dataValidation allowBlank="true" errorStyle="stop" operator="between" showDropDown="false" showErrorMessage="false" showInputMessage="false" sqref="G2:G60" type="list">
      <formula1>"Sí,No"</formula1>
      <formula2>0</formula2>
    </dataValidation>
    <dataValidation allowBlank="true" errorStyle="stop" operator="between" showDropDown="false" showErrorMessage="false" showInputMessage="false" sqref="J2:J60" type="list">
      <formula1>"Pendiente,En curso,Terminada"</formula1>
      <formula2>0</formula2>
    </dataValidation>
    <dataValidation allowBlank="true" errorStyle="stop" operator="between" showDropDown="false" showErrorMessage="false" showInputMessage="false" sqref="I2:I60" type="whole">
      <formula1>1</formula1>
      <formula2>11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2"/>
    <col collapsed="false" customWidth="true" hidden="false" outlineLevel="0" max="4" min="4" style="0" width="2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0"/>
  </cols>
  <sheetData>
    <row r="1" customFormat="false" ht="23.85" hidden="false" customHeight="false" outlineLevel="0" collapsed="false">
      <c r="A1" s="10" t="s">
        <v>48</v>
      </c>
      <c r="B1" s="10" t="s">
        <v>234</v>
      </c>
      <c r="C1" s="10" t="s">
        <v>235</v>
      </c>
      <c r="D1" s="10" t="s">
        <v>236</v>
      </c>
      <c r="E1" s="10" t="s">
        <v>237</v>
      </c>
      <c r="F1" s="10" t="s">
        <v>238</v>
      </c>
      <c r="G1" s="10" t="s">
        <v>239</v>
      </c>
      <c r="H1" s="10" t="s">
        <v>240</v>
      </c>
      <c r="I1" s="10" t="s">
        <v>241</v>
      </c>
      <c r="J1" s="10" t="s">
        <v>242</v>
      </c>
    </row>
    <row r="2" customFormat="false" ht="15" hidden="false" customHeight="false" outlineLevel="0" collapsed="false">
      <c r="A2" s="11" t="n">
        <v>1</v>
      </c>
      <c r="B2" s="17" t="n">
        <v>46321</v>
      </c>
      <c r="C2" s="18" t="n">
        <f aca="false">B2+13</f>
        <v>46334</v>
      </c>
      <c r="D2" s="12" t="s">
        <v>243</v>
      </c>
      <c r="E2" s="13" t="n">
        <v>8</v>
      </c>
      <c r="F2" s="11" t="n">
        <f aca="false">SUMIFS('Product Backlog'!$H$2:$H$60,'Product Backlog'!$I$2:$I$60,A2)</f>
        <v>8</v>
      </c>
      <c r="G2" s="11" t="n">
        <f aca="false">E2-F2</f>
        <v>0</v>
      </c>
      <c r="H2" s="11" t="str">
        <f aca="false">IF(G2&lt;0,"Sobrecargado",IF(G2=0,"Justo","Con margen"))</f>
        <v>Justo</v>
      </c>
      <c r="I2" s="11" t="n">
        <f aca="false">SUMIFS('Product Backlog'!$H$2:$H$60,'Product Backlog'!$I$2:$I$60,A2,'Product Backlog'!$J$2:$J$60,"Terminada")</f>
        <v>0</v>
      </c>
      <c r="J2" s="19" t="n">
        <f aca="false">IF(F2=0,0,I2/F2)</f>
        <v>0</v>
      </c>
    </row>
    <row r="3" customFormat="false" ht="15" hidden="false" customHeight="false" outlineLevel="0" collapsed="false">
      <c r="A3" s="11" t="n">
        <v>2</v>
      </c>
      <c r="B3" s="18" t="n">
        <f aca="false">B2+14</f>
        <v>46335</v>
      </c>
      <c r="C3" s="18" t="n">
        <f aca="false">B3+13</f>
        <v>46348</v>
      </c>
      <c r="D3" s="12" t="s">
        <v>243</v>
      </c>
      <c r="E3" s="13" t="n">
        <v>8</v>
      </c>
      <c r="F3" s="11" t="n">
        <f aca="false">SUMIFS('Product Backlog'!$H$2:$H$60,'Product Backlog'!$I$2:$I$60,A3)</f>
        <v>8</v>
      </c>
      <c r="G3" s="11" t="n">
        <f aca="false">E3-F3</f>
        <v>0</v>
      </c>
      <c r="H3" s="11" t="str">
        <f aca="false">IF(G3&lt;0,"Sobrecargado",IF(G3=0,"Justo","Con margen"))</f>
        <v>Justo</v>
      </c>
      <c r="I3" s="11" t="n">
        <f aca="false">SUMIFS('Product Backlog'!$H$2:$H$60,'Product Backlog'!$I$2:$I$60,A3,'Product Backlog'!$J$2:$J$60,"Terminada")</f>
        <v>0</v>
      </c>
      <c r="J3" s="19" t="n">
        <f aca="false">IF(F3=0,0,I3/F3)</f>
        <v>0</v>
      </c>
    </row>
    <row r="4" customFormat="false" ht="15" hidden="false" customHeight="false" outlineLevel="0" collapsed="false">
      <c r="A4" s="11" t="n">
        <v>3</v>
      </c>
      <c r="B4" s="18" t="n">
        <f aca="false">B3+14</f>
        <v>46349</v>
      </c>
      <c r="C4" s="18" t="n">
        <f aca="false">B4+13</f>
        <v>46362</v>
      </c>
      <c r="D4" s="12" t="s">
        <v>244</v>
      </c>
      <c r="E4" s="13" t="n">
        <v>8</v>
      </c>
      <c r="F4" s="11" t="n">
        <f aca="false">SUMIFS('Product Backlog'!$H$2:$H$60,'Product Backlog'!$I$2:$I$60,A4)</f>
        <v>8</v>
      </c>
      <c r="G4" s="11" t="n">
        <f aca="false">E4-F4</f>
        <v>0</v>
      </c>
      <c r="H4" s="11" t="str">
        <f aca="false">IF(G4&lt;0,"Sobrecargado",IF(G4=0,"Justo","Con margen"))</f>
        <v>Justo</v>
      </c>
      <c r="I4" s="11" t="n">
        <f aca="false">SUMIFS('Product Backlog'!$H$2:$H$60,'Product Backlog'!$I$2:$I$60,A4,'Product Backlog'!$J$2:$J$60,"Terminada")</f>
        <v>0</v>
      </c>
      <c r="J4" s="19" t="n">
        <f aca="false">IF(F4=0,0,I4/F4)</f>
        <v>0</v>
      </c>
    </row>
    <row r="5" customFormat="false" ht="15" hidden="false" customHeight="false" outlineLevel="0" collapsed="false">
      <c r="A5" s="11" t="n">
        <v>4</v>
      </c>
      <c r="B5" s="18" t="n">
        <f aca="false">B4+14</f>
        <v>46363</v>
      </c>
      <c r="C5" s="18" t="n">
        <f aca="false">B5+13</f>
        <v>46376</v>
      </c>
      <c r="D5" s="12" t="s">
        <v>244</v>
      </c>
      <c r="E5" s="13" t="n">
        <v>8</v>
      </c>
      <c r="F5" s="11" t="n">
        <f aca="false">SUMIFS('Product Backlog'!$H$2:$H$60,'Product Backlog'!$I$2:$I$60,A5)</f>
        <v>8</v>
      </c>
      <c r="G5" s="11" t="n">
        <f aca="false">E5-F5</f>
        <v>0</v>
      </c>
      <c r="H5" s="11" t="str">
        <f aca="false">IF(G5&lt;0,"Sobrecargado",IF(G5=0,"Justo","Con margen"))</f>
        <v>Justo</v>
      </c>
      <c r="I5" s="11" t="n">
        <f aca="false">SUMIFS('Product Backlog'!$H$2:$H$60,'Product Backlog'!$I$2:$I$60,A5,'Product Backlog'!$J$2:$J$60,"Terminada")</f>
        <v>0</v>
      </c>
      <c r="J5" s="19" t="n">
        <f aca="false">IF(F5=0,0,I5/F5)</f>
        <v>0</v>
      </c>
    </row>
    <row r="6" customFormat="false" ht="15" hidden="false" customHeight="false" outlineLevel="0" collapsed="false">
      <c r="A6" s="11" t="n">
        <v>5</v>
      </c>
      <c r="B6" s="18" t="n">
        <f aca="false">B5+14</f>
        <v>46377</v>
      </c>
      <c r="C6" s="18" t="n">
        <f aca="false">B6+13</f>
        <v>46390</v>
      </c>
      <c r="D6" s="12" t="s">
        <v>245</v>
      </c>
      <c r="E6" s="13" t="n">
        <v>14</v>
      </c>
      <c r="F6" s="11" t="n">
        <f aca="false">SUMIFS('Product Backlog'!$H$2:$H$60,'Product Backlog'!$I$2:$I$60,A6)</f>
        <v>14</v>
      </c>
      <c r="G6" s="11" t="n">
        <f aca="false">E6-F6</f>
        <v>0</v>
      </c>
      <c r="H6" s="11" t="str">
        <f aca="false">IF(G6&lt;0,"Sobrecargado",IF(G6=0,"Justo","Con margen"))</f>
        <v>Justo</v>
      </c>
      <c r="I6" s="11" t="n">
        <f aca="false">SUMIFS('Product Backlog'!$H$2:$H$60,'Product Backlog'!$I$2:$I$60,A6,'Product Backlog'!$J$2:$J$60,"Terminada")</f>
        <v>0</v>
      </c>
      <c r="J6" s="19" t="n">
        <f aca="false">IF(F6=0,0,I6/F6)</f>
        <v>0</v>
      </c>
    </row>
    <row r="7" customFormat="false" ht="15" hidden="false" customHeight="false" outlineLevel="0" collapsed="false">
      <c r="A7" s="11" t="n">
        <v>6</v>
      </c>
      <c r="B7" s="18" t="n">
        <f aca="false">B6+14</f>
        <v>46391</v>
      </c>
      <c r="C7" s="18" t="n">
        <f aca="false">B7+13</f>
        <v>46404</v>
      </c>
      <c r="D7" s="12" t="s">
        <v>245</v>
      </c>
      <c r="E7" s="13" t="n">
        <v>20</v>
      </c>
      <c r="F7" s="11" t="n">
        <f aca="false">SUMIFS('Product Backlog'!$H$2:$H$60,'Product Backlog'!$I$2:$I$60,A7)</f>
        <v>20</v>
      </c>
      <c r="G7" s="11" t="n">
        <f aca="false">E7-F7</f>
        <v>0</v>
      </c>
      <c r="H7" s="11" t="str">
        <f aca="false">IF(G7&lt;0,"Sobrecargado",IF(G7=0,"Justo","Con margen"))</f>
        <v>Justo</v>
      </c>
      <c r="I7" s="11" t="n">
        <f aca="false">SUMIFS('Product Backlog'!$H$2:$H$60,'Product Backlog'!$I$2:$I$60,A7,'Product Backlog'!$J$2:$J$60,"Terminada")</f>
        <v>0</v>
      </c>
      <c r="J7" s="19" t="n">
        <f aca="false">IF(F7=0,0,I7/F7)</f>
        <v>0</v>
      </c>
    </row>
    <row r="8" customFormat="false" ht="15" hidden="false" customHeight="false" outlineLevel="0" collapsed="false">
      <c r="A8" s="11" t="n">
        <v>7</v>
      </c>
      <c r="B8" s="18" t="n">
        <f aca="false">B7+14</f>
        <v>46405</v>
      </c>
      <c r="C8" s="18" t="n">
        <f aca="false">B8+13</f>
        <v>46418</v>
      </c>
      <c r="D8" s="12" t="s">
        <v>245</v>
      </c>
      <c r="E8" s="13" t="n">
        <v>20</v>
      </c>
      <c r="F8" s="11" t="n">
        <f aca="false">SUMIFS('Product Backlog'!$H$2:$H$60,'Product Backlog'!$I$2:$I$60,A8)</f>
        <v>19</v>
      </c>
      <c r="G8" s="11" t="n">
        <f aca="false">E8-F8</f>
        <v>1</v>
      </c>
      <c r="H8" s="11" t="str">
        <f aca="false">IF(G8&lt;0,"Sobrecargado",IF(G8=0,"Justo","Con margen"))</f>
        <v>Con margen</v>
      </c>
      <c r="I8" s="11" t="n">
        <f aca="false">SUMIFS('Product Backlog'!$H$2:$H$60,'Product Backlog'!$I$2:$I$60,A8,'Product Backlog'!$J$2:$J$60,"Terminada")</f>
        <v>0</v>
      </c>
      <c r="J8" s="19" t="n">
        <f aca="false">IF(F8=0,0,I8/F8)</f>
        <v>0</v>
      </c>
    </row>
    <row r="9" customFormat="false" ht="15" hidden="false" customHeight="false" outlineLevel="0" collapsed="false">
      <c r="A9" s="11" t="n">
        <v>8</v>
      </c>
      <c r="B9" s="18" t="n">
        <f aca="false">B8+14</f>
        <v>46419</v>
      </c>
      <c r="C9" s="18" t="n">
        <f aca="false">B9+13</f>
        <v>46432</v>
      </c>
      <c r="D9" s="12" t="s">
        <v>245</v>
      </c>
      <c r="E9" s="13" t="n">
        <v>20</v>
      </c>
      <c r="F9" s="11" t="n">
        <f aca="false">SUMIFS('Product Backlog'!$H$2:$H$60,'Product Backlog'!$I$2:$I$60,A9)</f>
        <v>20</v>
      </c>
      <c r="G9" s="11" t="n">
        <f aca="false">E9-F9</f>
        <v>0</v>
      </c>
      <c r="H9" s="11" t="str">
        <f aca="false">IF(G9&lt;0,"Sobrecargado",IF(G9=0,"Justo","Con margen"))</f>
        <v>Justo</v>
      </c>
      <c r="I9" s="11" t="n">
        <f aca="false">SUMIFS('Product Backlog'!$H$2:$H$60,'Product Backlog'!$I$2:$I$60,A9,'Product Backlog'!$J$2:$J$60,"Terminada")</f>
        <v>0</v>
      </c>
      <c r="J9" s="19" t="n">
        <f aca="false">IF(F9=0,0,I9/F9)</f>
        <v>0</v>
      </c>
    </row>
    <row r="10" customFormat="false" ht="15" hidden="false" customHeight="false" outlineLevel="0" collapsed="false">
      <c r="A10" s="11" t="n">
        <v>9</v>
      </c>
      <c r="B10" s="18" t="n">
        <f aca="false">B9+14</f>
        <v>46433</v>
      </c>
      <c r="C10" s="18" t="n">
        <f aca="false">B10+13</f>
        <v>46446</v>
      </c>
      <c r="D10" s="12" t="s">
        <v>246</v>
      </c>
      <c r="E10" s="13" t="n">
        <v>14</v>
      </c>
      <c r="F10" s="11" t="n">
        <f aca="false">SUMIFS('Product Backlog'!$H$2:$H$60,'Product Backlog'!$I$2:$I$60,A10)</f>
        <v>14</v>
      </c>
      <c r="G10" s="11" t="n">
        <f aca="false">E10-F10</f>
        <v>0</v>
      </c>
      <c r="H10" s="11" t="str">
        <f aca="false">IF(G10&lt;0,"Sobrecargado",IF(G10=0,"Justo","Con margen"))</f>
        <v>Justo</v>
      </c>
      <c r="I10" s="11" t="n">
        <f aca="false">SUMIFS('Product Backlog'!$H$2:$H$60,'Product Backlog'!$I$2:$I$60,A10,'Product Backlog'!$J$2:$J$60,"Terminada")</f>
        <v>0</v>
      </c>
      <c r="J10" s="19" t="n">
        <f aca="false">IF(F10=0,0,I10/F10)</f>
        <v>0</v>
      </c>
    </row>
    <row r="11" customFormat="false" ht="15" hidden="false" customHeight="false" outlineLevel="0" collapsed="false">
      <c r="A11" s="11" t="n">
        <v>10</v>
      </c>
      <c r="B11" s="18" t="n">
        <f aca="false">B10+14</f>
        <v>46447</v>
      </c>
      <c r="C11" s="18" t="n">
        <f aca="false">B11+13</f>
        <v>46460</v>
      </c>
      <c r="D11" s="12" t="s">
        <v>246</v>
      </c>
      <c r="E11" s="13" t="n">
        <v>14</v>
      </c>
      <c r="F11" s="11" t="n">
        <f aca="false">SUMIFS('Product Backlog'!$H$2:$H$60,'Product Backlog'!$I$2:$I$60,A11)</f>
        <v>14</v>
      </c>
      <c r="G11" s="11" t="n">
        <f aca="false">E11-F11</f>
        <v>0</v>
      </c>
      <c r="H11" s="11" t="str">
        <f aca="false">IF(G11&lt;0,"Sobrecargado",IF(G11=0,"Justo","Con margen"))</f>
        <v>Justo</v>
      </c>
      <c r="I11" s="11" t="n">
        <f aca="false">SUMIFS('Product Backlog'!$H$2:$H$60,'Product Backlog'!$I$2:$I$60,A11,'Product Backlog'!$J$2:$J$60,"Terminada")</f>
        <v>0</v>
      </c>
      <c r="J11" s="19" t="n">
        <f aca="false">IF(F11=0,0,I11/F11)</f>
        <v>0</v>
      </c>
    </row>
    <row r="12" customFormat="false" ht="15" hidden="false" customHeight="false" outlineLevel="0" collapsed="false">
      <c r="A12" s="11" t="n">
        <v>11</v>
      </c>
      <c r="B12" s="18" t="n">
        <f aca="false">B11+14</f>
        <v>46461</v>
      </c>
      <c r="C12" s="18" t="n">
        <f aca="false">B12+13</f>
        <v>46474</v>
      </c>
      <c r="D12" s="12" t="s">
        <v>247</v>
      </c>
      <c r="E12" s="13" t="n">
        <v>14</v>
      </c>
      <c r="F12" s="11" t="n">
        <f aca="false">SUMIFS('Product Backlog'!$H$2:$H$60,'Product Backlog'!$I$2:$I$60,A12)</f>
        <v>14</v>
      </c>
      <c r="G12" s="11" t="n">
        <f aca="false">E12-F12</f>
        <v>0</v>
      </c>
      <c r="H12" s="11" t="str">
        <f aca="false">IF(G12&lt;0,"Sobrecargado",IF(G12=0,"Justo","Con margen"))</f>
        <v>Justo</v>
      </c>
      <c r="I12" s="11" t="n">
        <f aca="false">SUMIFS('Product Backlog'!$H$2:$H$60,'Product Backlog'!$I$2:$I$60,A12,'Product Backlog'!$J$2:$J$60,"Terminada")</f>
        <v>0</v>
      </c>
      <c r="J12" s="19" t="n">
        <f aca="false">IF(F12=0,0,I12/F12)</f>
        <v>0</v>
      </c>
    </row>
    <row r="13" customFormat="false" ht="15" hidden="false" customHeight="false" outlineLevel="0" collapsed="false">
      <c r="A13" s="20" t="s">
        <v>248</v>
      </c>
      <c r="B13" s="21"/>
      <c r="C13" s="21"/>
      <c r="D13" s="22"/>
      <c r="E13" s="20" t="n">
        <f aca="false">SUM(E2:E12)</f>
        <v>148</v>
      </c>
      <c r="F13" s="20" t="n">
        <f aca="false">SUM(F2:F12)</f>
        <v>147</v>
      </c>
      <c r="G13" s="20" t="n">
        <f aca="false">E13-F13</f>
        <v>1</v>
      </c>
      <c r="H13" s="20"/>
      <c r="I13" s="20" t="n">
        <f aca="false">SUM(I2:I12)</f>
        <v>0</v>
      </c>
      <c r="J13" s="23" t="n">
        <f aca="false">IF(F13=0,0,I13/F13)</f>
        <v>0</v>
      </c>
    </row>
  </sheetData>
  <conditionalFormatting sqref="H2:H12">
    <cfRule type="cellIs" priority="2" operator="equal" aboveAverage="0" equalAverage="0" bottom="0" percent="0" rank="0" text="" dxfId="7">
      <formula>"Sobrecargado"</formula>
    </cfRule>
    <cfRule type="cellIs" priority="3" operator="equal" aboveAverage="0" equalAverage="0" bottom="0" percent="0" rank="0" text="" dxfId="6">
      <formula>"Justo"</formula>
    </cfRule>
    <cfRule type="cellIs" priority="4" operator="equal" aboveAverage="0" equalAverage="0" bottom="0" percent="0" rank="0" text="" dxfId="5">
      <formula>"Con margen"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2026-10-21T22:22:10Z</dcterms:created>
  <dc:creator>openpyxl</dc:creator>
  <dc:description/>
  <dc:language>en-US</dc:language>
  <cp:lastModifiedBy/>
  <dcterms:modified xsi:type="dcterms:W3CDTF">2026-10-21T22:22:10Z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